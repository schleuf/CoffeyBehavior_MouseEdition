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r.Coffey\Documents\GitHub\CoffeyBehavior\Protocols\"/>
    </mc:Choice>
  </mc:AlternateContent>
  <xr:revisionPtr revIDLastSave="0" documentId="13_ncr:1_{122EA9FE-9236-41EC-8D2F-7019303DAC03}" xr6:coauthVersionLast="47" xr6:coauthVersionMax="47" xr10:uidLastSave="{00000000-0000-0000-0000-000000000000}"/>
  <bookViews>
    <workbookView xWindow="6924" yWindow="1848" windowWidth="21540" windowHeight="1384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B5" i="1"/>
  <c r="B6" i="1" s="1"/>
  <c r="J6" i="1"/>
  <c r="K6" i="1"/>
  <c r="L6" i="1"/>
  <c r="N6" i="1"/>
  <c r="N9" i="1"/>
  <c r="N10" i="1" s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P5" i="1"/>
  <c r="P9" i="1" s="1"/>
  <c r="P10" i="1" s="1"/>
  <c r="O5" i="1"/>
  <c r="O9" i="1" s="1"/>
  <c r="O10" i="1" s="1"/>
  <c r="N5" i="1"/>
  <c r="M5" i="1"/>
  <c r="M6" i="1" s="1"/>
  <c r="L5" i="1"/>
  <c r="L9" i="1" s="1"/>
  <c r="L10" i="1" s="1"/>
  <c r="K5" i="1"/>
  <c r="K9" i="1" s="1"/>
  <c r="K10" i="1" s="1"/>
  <c r="J5" i="1"/>
  <c r="J9" i="1" s="1"/>
  <c r="J10" i="1" s="1"/>
  <c r="I5" i="1"/>
  <c r="I9" i="1" s="1"/>
  <c r="I10" i="1" s="1"/>
  <c r="H5" i="1"/>
  <c r="H9" i="1" s="1"/>
  <c r="H10" i="1" s="1"/>
  <c r="H13" i="1" s="1"/>
  <c r="G5" i="1"/>
  <c r="G9" i="1" s="1"/>
  <c r="G10" i="1" s="1"/>
  <c r="G11" i="1" s="1"/>
  <c r="F5" i="1"/>
  <c r="F9" i="1" s="1"/>
  <c r="F10" i="1" s="1"/>
  <c r="E5" i="1"/>
  <c r="E9" i="1" s="1"/>
  <c r="E10" i="1" s="1"/>
  <c r="D5" i="1"/>
  <c r="D9" i="1" s="1"/>
  <c r="D10" i="1" s="1"/>
  <c r="C5" i="1"/>
  <c r="C9" i="1" s="1"/>
  <c r="C10" i="1" s="1"/>
  <c r="B9" i="1"/>
  <c r="K13" i="1" l="1"/>
  <c r="K11" i="1"/>
  <c r="I11" i="1"/>
  <c r="I13" i="1"/>
  <c r="L11" i="1"/>
  <c r="L13" i="1"/>
  <c r="I6" i="1"/>
  <c r="H6" i="1"/>
  <c r="G6" i="1"/>
  <c r="F6" i="1"/>
  <c r="E6" i="1"/>
  <c r="P6" i="1"/>
  <c r="D6" i="1"/>
  <c r="M9" i="1"/>
  <c r="M10" i="1" s="1"/>
  <c r="O6" i="1"/>
  <c r="C6" i="1"/>
  <c r="A21" i="1"/>
  <c r="M11" i="1"/>
  <c r="M13" i="1"/>
  <c r="J11" i="1"/>
  <c r="J13" i="1"/>
  <c r="N13" i="1"/>
  <c r="N11" i="1"/>
  <c r="H11" i="1"/>
  <c r="F11" i="1"/>
  <c r="F13" i="1"/>
  <c r="C13" i="1"/>
  <c r="C11" i="1"/>
  <c r="P11" i="1"/>
  <c r="P13" i="1"/>
  <c r="B10" i="1"/>
  <c r="D11" i="1"/>
  <c r="D13" i="1"/>
  <c r="E11" i="1"/>
  <c r="E13" i="1"/>
  <c r="O11" i="1"/>
  <c r="O13" i="1"/>
  <c r="G13" i="1"/>
  <c r="B11" i="1" l="1"/>
  <c r="B13" i="1"/>
  <c r="A15" i="1" s="1"/>
</calcChain>
</file>

<file path=xl/sharedStrings.xml><?xml version="1.0" encoding="utf-8"?>
<sst xmlns="http://schemas.openxmlformats.org/spreadsheetml/2006/main" count="32" uniqueCount="32">
  <si>
    <t>Oral Fentanyl Usage</t>
  </si>
  <si>
    <t>Day 1</t>
  </si>
  <si>
    <t>Day 2</t>
  </si>
  <si>
    <t xml:space="preserve">Day 3 </t>
  </si>
  <si>
    <t xml:space="preserve">Day4 </t>
  </si>
  <si>
    <t xml:space="preserve">Day 5 </t>
  </si>
  <si>
    <t xml:space="preserve">Day 6 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</si>
  <si>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</si>
  <si>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</si>
  <si>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</si>
  <si>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</si>
  <si>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</si>
  <si>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</si>
  <si>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</si>
  <si>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</si>
  <si>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</si>
  <si>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Liquid Concentration (ug/ml)</t>
  </si>
  <si>
    <t>Estimated Weight (kg)</t>
  </si>
  <si>
    <t>Liquid Reward Size (ml/kg)</t>
  </si>
  <si>
    <t>Liquid Reward Size (mL)</t>
  </si>
  <si>
    <t>Pump Duration</t>
  </si>
  <si>
    <t>Reward Dose (ug)</t>
  </si>
  <si>
    <t>Daily Rewards</t>
  </si>
  <si>
    <t>Daily Liqud Use/Animal (mL)</t>
  </si>
  <si>
    <t>Daily Fent Use/Animal (ug)</t>
  </si>
  <si>
    <t>Daily Fent Use/Animal (ug/kg)</t>
  </si>
  <si>
    <t>Total Animals</t>
  </si>
  <si>
    <t>Total Daily Use</t>
  </si>
  <si>
    <t>Grand Total (mg)</t>
  </si>
  <si>
    <t>Loss from Unfinished Syringes</t>
  </si>
  <si>
    <t>Grand Total + Loss (mg)</t>
  </si>
  <si>
    <t>Total 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</si>
</sst>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B26" sqref="B26"/>
    </sheetView>
  </sheetViews>
  <sheetFormatPr defaultColWidth="8.88671875" defaultRowHeight="14.4" x14ac:dyDescent="0.3"/>
  <cols>
    <col min="1" max="1" width="31.33203125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4">
        <v>70</v>
      </c>
      <c r="C2" s="4">
        <v>70</v>
      </c>
      <c r="D2" s="4">
        <v>70</v>
      </c>
      <c r="E2" s="4">
        <v>70</v>
      </c>
      <c r="F2" s="4">
        <v>70</v>
      </c>
      <c r="G2" s="4">
        <v>70</v>
      </c>
      <c r="H2" s="4">
        <v>70</v>
      </c>
      <c r="I2" s="4">
        <v>70</v>
      </c>
      <c r="J2" s="4">
        <v>70</v>
      </c>
      <c r="K2" s="4">
        <v>70</v>
      </c>
      <c r="L2" s="4">
        <v>70</v>
      </c>
      <c r="M2" s="4">
        <v>70</v>
      </c>
      <c r="N2" s="4">
        <v>70</v>
      </c>
      <c r="O2" s="4">
        <v>70</v>
      </c>
      <c r="P2" s="4">
        <v>70</v>
      </c>
    </row>
    <row r="3" spans="1:16" x14ac:dyDescent="0.3">
      <c r="A3" s="3" t="s">
        <v>17</v>
      </c>
      <c r="B3" s="4">
        <v>0.03</v>
      </c>
      <c r="C3" s="4">
        <v>0.03</v>
      </c>
      <c r="D3" s="4">
        <v>0.03</v>
      </c>
      <c r="E3" s="4">
        <v>0.03</v>
      </c>
      <c r="F3" s="4">
        <v>0.03</v>
      </c>
      <c r="G3" s="4">
        <v>0.03</v>
      </c>
      <c r="H3" s="4">
        <v>0.03</v>
      </c>
      <c r="I3" s="4">
        <v>0.03</v>
      </c>
      <c r="J3" s="4">
        <v>0.03</v>
      </c>
      <c r="K3" s="4">
        <v>0.03</v>
      </c>
      <c r="L3" s="4">
        <v>0.03</v>
      </c>
      <c r="M3" s="4">
        <v>0.03</v>
      </c>
      <c r="N3" s="4">
        <v>0.03</v>
      </c>
      <c r="O3" s="4">
        <v>0.03</v>
      </c>
      <c r="P3" s="4">
        <v>0.03</v>
      </c>
    </row>
    <row r="4" spans="1:16" x14ac:dyDescent="0.3">
      <c r="A4" s="3" t="s">
        <v>18</v>
      </c>
      <c r="B4" s="4">
        <v>0.65</v>
      </c>
      <c r="C4" s="4">
        <v>0.65</v>
      </c>
      <c r="D4" s="4">
        <v>0.65</v>
      </c>
      <c r="E4" s="4">
        <v>0.65</v>
      </c>
      <c r="F4" s="4">
        <v>0.65</v>
      </c>
      <c r="G4" s="4">
        <v>0.65</v>
      </c>
      <c r="H4" s="4">
        <v>0.65</v>
      </c>
      <c r="I4" s="4">
        <v>0.65</v>
      </c>
      <c r="J4" s="4">
        <v>0.65</v>
      </c>
      <c r="K4" s="4">
        <v>0.65</v>
      </c>
      <c r="L4" s="4">
        <v>0.65</v>
      </c>
      <c r="M4" s="4">
        <v>0.65</v>
      </c>
      <c r="N4" s="4">
        <v>0.65</v>
      </c>
      <c r="O4" s="4">
        <v>0.65</v>
      </c>
      <c r="P4" s="4">
        <v>0.65</v>
      </c>
    </row>
    <row r="5" spans="1:16" x14ac:dyDescent="0.3">
      <c r="A5" s="3" t="s">
        <v>19</v>
      </c>
      <c r="B5" s="4">
        <f>B4*B3</f>
        <v>1.95E-2</v>
      </c>
      <c r="C5" s="4">
        <f t="shared" ref="C5:P5" si="0">C4*C3</f>
        <v>1.95E-2</v>
      </c>
      <c r="D5" s="4">
        <f t="shared" si="0"/>
        <v>1.95E-2</v>
      </c>
      <c r="E5" s="4">
        <f t="shared" si="0"/>
        <v>1.95E-2</v>
      </c>
      <c r="F5" s="4">
        <f t="shared" si="0"/>
        <v>1.95E-2</v>
      </c>
      <c r="G5" s="4">
        <f t="shared" si="0"/>
        <v>1.95E-2</v>
      </c>
      <c r="H5" s="4">
        <f t="shared" si="0"/>
        <v>1.95E-2</v>
      </c>
      <c r="I5" s="4">
        <f t="shared" si="0"/>
        <v>1.95E-2</v>
      </c>
      <c r="J5" s="4">
        <f t="shared" si="0"/>
        <v>1.95E-2</v>
      </c>
      <c r="K5" s="4">
        <f t="shared" si="0"/>
        <v>1.95E-2</v>
      </c>
      <c r="L5" s="4">
        <f t="shared" si="0"/>
        <v>1.95E-2</v>
      </c>
      <c r="M5" s="4">
        <f t="shared" si="0"/>
        <v>1.95E-2</v>
      </c>
      <c r="N5" s="4">
        <f t="shared" si="0"/>
        <v>1.95E-2</v>
      </c>
      <c r="O5" s="4">
        <f t="shared" si="0"/>
        <v>1.95E-2</v>
      </c>
      <c r="P5" s="4">
        <f t="shared" si="0"/>
        <v>1.95E-2</v>
      </c>
    </row>
    <row r="6" spans="1:16" x14ac:dyDescent="0.3">
      <c r="A6" s="3" t="s">
        <v>20</v>
      </c>
      <c r="B6" s="4">
        <f>((B5)+0.0037)/0.0058</f>
        <v>4</v>
      </c>
      <c r="C6" s="4">
        <f t="shared" ref="C6:P6" si="1">((C5)+0.0037)/0.0058</f>
        <v>4</v>
      </c>
      <c r="D6" s="4">
        <f t="shared" si="1"/>
        <v>4</v>
      </c>
      <c r="E6" s="4">
        <f t="shared" si="1"/>
        <v>4</v>
      </c>
      <c r="F6" s="4">
        <f t="shared" si="1"/>
        <v>4</v>
      </c>
      <c r="G6" s="4">
        <f t="shared" si="1"/>
        <v>4</v>
      </c>
      <c r="H6" s="4">
        <f t="shared" si="1"/>
        <v>4</v>
      </c>
      <c r="I6" s="4">
        <f t="shared" si="1"/>
        <v>4</v>
      </c>
      <c r="J6" s="4">
        <f t="shared" si="1"/>
        <v>4</v>
      </c>
      <c r="K6" s="4">
        <f t="shared" si="1"/>
        <v>4</v>
      </c>
      <c r="L6" s="4">
        <f t="shared" si="1"/>
        <v>4</v>
      </c>
      <c r="M6" s="4">
        <f t="shared" si="1"/>
        <v>4</v>
      </c>
      <c r="N6" s="4">
        <f t="shared" si="1"/>
        <v>4</v>
      </c>
      <c r="O6" s="4">
        <f t="shared" si="1"/>
        <v>4</v>
      </c>
      <c r="P6" s="4">
        <f t="shared" si="1"/>
        <v>4</v>
      </c>
    </row>
    <row r="7" spans="1:16" x14ac:dyDescent="0.3">
      <c r="A7" s="3" t="s">
        <v>21</v>
      </c>
      <c r="B7" s="4">
        <f>B2*B3*B4</f>
        <v>1.3650000000000002</v>
      </c>
      <c r="C7" s="4">
        <f t="shared" ref="C7:P7" si="2">C2*C3*C4</f>
        <v>1.3650000000000002</v>
      </c>
      <c r="D7" s="4">
        <f t="shared" si="2"/>
        <v>1.3650000000000002</v>
      </c>
      <c r="E7" s="4">
        <f t="shared" si="2"/>
        <v>1.3650000000000002</v>
      </c>
      <c r="F7" s="4">
        <f t="shared" si="2"/>
        <v>1.3650000000000002</v>
      </c>
      <c r="G7" s="4">
        <f t="shared" si="2"/>
        <v>1.3650000000000002</v>
      </c>
      <c r="H7" s="4">
        <f t="shared" si="2"/>
        <v>1.3650000000000002</v>
      </c>
      <c r="I7" s="4">
        <f t="shared" si="2"/>
        <v>1.3650000000000002</v>
      </c>
      <c r="J7" s="4">
        <f t="shared" si="2"/>
        <v>1.3650000000000002</v>
      </c>
      <c r="K7" s="4">
        <f t="shared" si="2"/>
        <v>1.3650000000000002</v>
      </c>
      <c r="L7" s="4">
        <f t="shared" si="2"/>
        <v>1.3650000000000002</v>
      </c>
      <c r="M7" s="4">
        <f t="shared" si="2"/>
        <v>1.3650000000000002</v>
      </c>
      <c r="N7" s="4">
        <f t="shared" si="2"/>
        <v>1.3650000000000002</v>
      </c>
      <c r="O7" s="4">
        <f t="shared" si="2"/>
        <v>1.3650000000000002</v>
      </c>
      <c r="P7" s="4">
        <f t="shared" si="2"/>
        <v>1.3650000000000002</v>
      </c>
    </row>
    <row r="8" spans="1:16" x14ac:dyDescent="0.3">
      <c r="A8" s="3" t="s">
        <v>22</v>
      </c>
      <c r="B8" s="4">
        <v>2</v>
      </c>
      <c r="C8" s="4">
        <v>6</v>
      </c>
      <c r="D8" s="4">
        <v>10</v>
      </c>
      <c r="E8" s="4">
        <v>14</v>
      </c>
      <c r="F8" s="4">
        <v>18</v>
      </c>
      <c r="G8" s="4">
        <v>22</v>
      </c>
      <c r="H8" s="4">
        <v>26</v>
      </c>
      <c r="I8" s="4">
        <v>30</v>
      </c>
      <c r="J8" s="4">
        <v>34</v>
      </c>
      <c r="K8" s="4">
        <v>38</v>
      </c>
      <c r="L8" s="4">
        <v>42</v>
      </c>
      <c r="M8" s="4">
        <v>46</v>
      </c>
      <c r="N8" s="4">
        <v>50</v>
      </c>
      <c r="O8" s="4">
        <v>54</v>
      </c>
      <c r="P8" s="4">
        <v>58</v>
      </c>
    </row>
    <row r="9" spans="1:16" x14ac:dyDescent="0.3">
      <c r="A9" s="3" t="s">
        <v>23</v>
      </c>
      <c r="B9" s="4">
        <f>B8*B5</f>
        <v>3.9E-2</v>
      </c>
      <c r="C9" s="4">
        <f t="shared" ref="C9:P9" si="3">C8*C5</f>
        <v>0.11699999999999999</v>
      </c>
      <c r="D9" s="4">
        <f t="shared" si="3"/>
        <v>0.19500000000000001</v>
      </c>
      <c r="E9" s="4">
        <f t="shared" si="3"/>
        <v>0.27300000000000002</v>
      </c>
      <c r="F9" s="4">
        <f t="shared" si="3"/>
        <v>0.35099999999999998</v>
      </c>
      <c r="G9" s="4">
        <f t="shared" si="3"/>
        <v>0.42899999999999999</v>
      </c>
      <c r="H9" s="4">
        <f t="shared" si="3"/>
        <v>0.50700000000000001</v>
      </c>
      <c r="I9" s="4">
        <f t="shared" si="3"/>
        <v>0.58499999999999996</v>
      </c>
      <c r="J9" s="4">
        <f t="shared" si="3"/>
        <v>0.66300000000000003</v>
      </c>
      <c r="K9" s="4">
        <f t="shared" si="3"/>
        <v>0.74099999999999999</v>
      </c>
      <c r="L9" s="4">
        <f t="shared" si="3"/>
        <v>0.81899999999999995</v>
      </c>
      <c r="M9" s="4">
        <f t="shared" si="3"/>
        <v>0.89700000000000002</v>
      </c>
      <c r="N9" s="4">
        <f t="shared" si="3"/>
        <v>0.97499999999999998</v>
      </c>
      <c r="O9" s="4">
        <f t="shared" si="3"/>
        <v>1.0529999999999999</v>
      </c>
      <c r="P9" s="4">
        <f t="shared" si="3"/>
        <v>1.131</v>
      </c>
    </row>
    <row r="10" spans="1:16" x14ac:dyDescent="0.3">
      <c r="A10" s="3" t="s">
        <v>24</v>
      </c>
      <c r="B10" s="4">
        <f>B9*B2</f>
        <v>2.73</v>
      </c>
      <c r="C10" s="4">
        <f t="shared" ref="C10:P10" si="4">C9*C2</f>
        <v>8.19</v>
      </c>
      <c r="D10" s="4">
        <f t="shared" si="4"/>
        <v>13.65</v>
      </c>
      <c r="E10" s="4">
        <f t="shared" si="4"/>
        <v>19.110000000000003</v>
      </c>
      <c r="F10" s="4">
        <f t="shared" si="4"/>
        <v>24.57</v>
      </c>
      <c r="G10" s="4">
        <f t="shared" si="4"/>
        <v>30.03</v>
      </c>
      <c r="H10" s="4">
        <f t="shared" si="4"/>
        <v>35.49</v>
      </c>
      <c r="I10" s="4">
        <f t="shared" si="4"/>
        <v>40.949999999999996</v>
      </c>
      <c r="J10" s="4">
        <f t="shared" si="4"/>
        <v>46.410000000000004</v>
      </c>
      <c r="K10" s="4">
        <f t="shared" si="4"/>
        <v>51.87</v>
      </c>
      <c r="L10" s="4">
        <f t="shared" si="4"/>
        <v>57.33</v>
      </c>
      <c r="M10" s="4">
        <f t="shared" si="4"/>
        <v>62.79</v>
      </c>
      <c r="N10" s="4">
        <f t="shared" si="4"/>
        <v>68.25</v>
      </c>
      <c r="O10" s="4">
        <f t="shared" si="4"/>
        <v>73.709999999999994</v>
      </c>
      <c r="P10" s="4">
        <f t="shared" si="4"/>
        <v>79.17</v>
      </c>
    </row>
    <row r="11" spans="1:16" x14ac:dyDescent="0.3">
      <c r="A11" s="3" t="s">
        <v>25</v>
      </c>
      <c r="B11" s="4">
        <f>B10/B3</f>
        <v>91</v>
      </c>
      <c r="C11" s="4">
        <f t="shared" ref="C11:P11" si="5">C10/C3</f>
        <v>273</v>
      </c>
      <c r="D11" s="4">
        <f t="shared" si="5"/>
        <v>455.00000000000006</v>
      </c>
      <c r="E11" s="4">
        <f t="shared" si="5"/>
        <v>637.00000000000011</v>
      </c>
      <c r="F11" s="4">
        <f t="shared" si="5"/>
        <v>819</v>
      </c>
      <c r="G11" s="4">
        <f t="shared" si="5"/>
        <v>1001.0000000000001</v>
      </c>
      <c r="H11" s="4">
        <f t="shared" si="5"/>
        <v>1183</v>
      </c>
      <c r="I11" s="4">
        <f t="shared" si="5"/>
        <v>1365</v>
      </c>
      <c r="J11" s="4">
        <f t="shared" si="5"/>
        <v>1547.0000000000002</v>
      </c>
      <c r="K11" s="4">
        <f t="shared" si="5"/>
        <v>1729</v>
      </c>
      <c r="L11" s="4">
        <f t="shared" si="5"/>
        <v>1911</v>
      </c>
      <c r="M11" s="4">
        <f t="shared" si="5"/>
        <v>2093</v>
      </c>
      <c r="N11" s="4">
        <f t="shared" si="5"/>
        <v>2275</v>
      </c>
      <c r="O11" s="4">
        <f t="shared" si="5"/>
        <v>2457</v>
      </c>
      <c r="P11" s="4">
        <f t="shared" si="5"/>
        <v>2639</v>
      </c>
    </row>
    <row r="12" spans="1:16" x14ac:dyDescent="0.3">
      <c r="A12" s="3" t="s">
        <v>26</v>
      </c>
      <c r="B12" s="4">
        <v>16</v>
      </c>
      <c r="C12" s="4">
        <v>16</v>
      </c>
      <c r="D12" s="4">
        <v>16</v>
      </c>
      <c r="E12" s="4">
        <v>16</v>
      </c>
      <c r="F12" s="4">
        <v>16</v>
      </c>
      <c r="G12" s="4">
        <v>16</v>
      </c>
      <c r="H12" s="4">
        <v>16</v>
      </c>
      <c r="I12" s="4">
        <v>16</v>
      </c>
      <c r="J12" s="4">
        <v>16</v>
      </c>
      <c r="K12" s="4">
        <v>16</v>
      </c>
      <c r="L12" s="4">
        <v>16</v>
      </c>
      <c r="M12" s="4">
        <v>16</v>
      </c>
      <c r="N12" s="4">
        <v>16</v>
      </c>
      <c r="O12" s="4">
        <v>16</v>
      </c>
      <c r="P12" s="4">
        <v>16</v>
      </c>
    </row>
    <row r="13" spans="1:16" ht="15" thickBot="1" x14ac:dyDescent="0.35">
      <c r="A13" s="3" t="s">
        <v>27</v>
      </c>
      <c r="B13" s="4">
        <f>B10*B12</f>
        <v>43.68</v>
      </c>
      <c r="C13" s="4">
        <f t="shared" ref="C13:P13" si="6">C10*C12</f>
        <v>131.04</v>
      </c>
      <c r="D13" s="4">
        <f t="shared" si="6"/>
        <v>218.4</v>
      </c>
      <c r="E13" s="4">
        <f t="shared" si="6"/>
        <v>305.76000000000005</v>
      </c>
      <c r="F13" s="4">
        <f t="shared" si="6"/>
        <v>393.12</v>
      </c>
      <c r="G13" s="4">
        <f t="shared" si="6"/>
        <v>480.48</v>
      </c>
      <c r="H13" s="4">
        <f t="shared" si="6"/>
        <v>567.84</v>
      </c>
      <c r="I13" s="4">
        <f t="shared" si="6"/>
        <v>655.19999999999993</v>
      </c>
      <c r="J13" s="4">
        <f t="shared" si="6"/>
        <v>742.56000000000006</v>
      </c>
      <c r="K13" s="4">
        <f t="shared" si="6"/>
        <v>829.92</v>
      </c>
      <c r="L13" s="4">
        <f t="shared" si="6"/>
        <v>917.28</v>
      </c>
      <c r="M13" s="4">
        <f t="shared" si="6"/>
        <v>1004.64</v>
      </c>
      <c r="N13" s="4">
        <f t="shared" si="6"/>
        <v>1092</v>
      </c>
      <c r="O13" s="4">
        <f t="shared" si="6"/>
        <v>1179.3599999999999</v>
      </c>
      <c r="P13" s="4">
        <f t="shared" si="6"/>
        <v>1266.72</v>
      </c>
    </row>
    <row r="14" spans="1:16" ht="15" thickBot="1" x14ac:dyDescent="0.35">
      <c r="A14" s="5" t="s">
        <v>28</v>
      </c>
      <c r="B14" s="3"/>
    </row>
    <row r="15" spans="1:16" x14ac:dyDescent="0.3">
      <c r="A15" s="6">
        <f>SUM(B13:P13)/1000</f>
        <v>9.8279999999999994</v>
      </c>
    </row>
    <row r="16" spans="1:16" ht="15" thickBot="1" x14ac:dyDescent="0.35">
      <c r="A16" t="s">
        <v>29</v>
      </c>
      <c r="B16" s="7">
        <v>0.1</v>
      </c>
    </row>
    <row r="17" spans="1:1" ht="15" thickBot="1" x14ac:dyDescent="0.35">
      <c r="A17" s="5" t="s">
        <v>30</v>
      </c>
    </row>
    <row r="18" spans="1:1" x14ac:dyDescent="0.3">
      <c r="A18" s="8">
        <f>A15*1.1</f>
        <v>10.8108</v>
      </c>
    </row>
    <row r="20" spans="1:1" x14ac:dyDescent="0.3">
      <c r="A20" s="9" t="s">
        <v>31</v>
      </c>
    </row>
    <row r="21" spans="1:1" x14ac:dyDescent="0.3">
      <c r="A21">
        <f>SUM(B9:P9)*B12</f>
        <v>140.39999999999998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DrCoffey</dc:creator>
  <cp:keywords/>
  <dc:description/>
  <cp:lastModifiedBy>mrcoffey</cp:lastModifiedBy>
  <cp:revision/>
  <dcterms:created xsi:type="dcterms:W3CDTF">2015-06-05T18:17:20Z</dcterms:created>
  <dcterms:modified xsi:type="dcterms:W3CDTF">2025-06-12T18:48:02Z</dcterms:modified>
  <cp:category/>
  <cp:contentStatus/>
</cp:coreProperties>
</file>